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o" sheetId="1" state="visible" r:id="rId1"/>
    <sheet name="Materiais" sheetId="2" state="visible" r:id="rId2"/>
    <sheet name="Materiais por Local" sheetId="3" state="visible" r:id="rId3"/>
    <sheet name="Recebimento Diario" sheetId="4" state="visible" r:id="rId4"/>
  </sheets>
  <definedNames>
    <definedName name="_xlnm._FilterDatabase" localSheetId="0" hidden="1">'Resumo'!$A$4:$E$15</definedName>
    <definedName name="_xlnm._FilterDatabase" localSheetId="1" hidden="1">'Materiais'!$A$4:$C$7</definedName>
    <definedName name="_xlnm._FilterDatabase" localSheetId="2" hidden="1">'Materiais por Local'!$A$4:$E$7</definedName>
    <definedName name="_xlnm._FilterDatabase" localSheetId="3" hidden="1">'Recebimento Diario'!$A$4:$C$15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B85F00"/>
      <sz val="16"/>
    </font>
  </fonts>
  <fills count="3">
    <fill>
      <patternFill/>
    </fill>
    <fill>
      <patternFill patternType="gray125"/>
    </fill>
    <fill>
      <patternFill patternType="solid">
        <fgColor rgb="00F29129"/>
      </patternFill>
    </fill>
  </fills>
  <borders count="2">
    <border>
      <left/>
      <right/>
      <top/>
      <bottom/>
      <diagonal/>
    </border>
    <border>
      <left style="thin">
        <color rgb="00D8D3CA"/>
      </left>
      <right style="thin">
        <color rgb="00D8D3CA"/>
      </right>
      <top style="thin">
        <color rgb="00D8D3CA"/>
      </top>
      <bottom style="thin">
        <color rgb="00D8D3CA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Quantidade por Dia, Material e Local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'Recebimento Diario'!B4</f>
            </strRef>
          </tx>
          <spPr>
            <a:ln>
              <a:prstDash val="solid"/>
            </a:ln>
          </spPr>
          <cat>
            <numRef>
              <f>'Recebimento Diario'!$A$5:$A$15</f>
            </numRef>
          </cat>
          <val>
            <numRef>
              <f>'Recebimento Diario'!$B$5:$B$15</f>
            </numRef>
          </val>
        </ser>
        <ser>
          <idx val="1"/>
          <order val="1"/>
          <tx>
            <strRef>
              <f>'Recebimento Diario'!C4</f>
            </strRef>
          </tx>
          <spPr>
            <a:ln>
              <a:prstDash val="solid"/>
            </a:ln>
          </spPr>
          <cat>
            <numRef>
              <f>'Recebimento Diario'!$A$5:$A$15</f>
            </numRef>
          </cat>
          <val>
            <numRef>
              <f>'Recebimento Diario'!$C$5:$C$15</f>
            </numRef>
          </val>
        </ser>
        <dLbls>
          <numFmt formatCode="0.000"/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Data de emissao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Toneladas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3</row>
      <rowOff>0</rowOff>
    </from>
    <ext cx="8640000" cy="43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1" customWidth="1" min="1" max="1"/>
    <col width="22" customWidth="1" min="2" max="2"/>
    <col width="29" customWidth="1" min="3" max="3"/>
    <col width="12" customWidth="1" min="4" max="4"/>
    <col width="19" customWidth="1" min="5" max="5"/>
  </cols>
  <sheetData>
    <row r="1">
      <c r="A1" s="1" t="inlineStr">
        <is>
          <t>Relatorio Operacional NF-e</t>
        </is>
      </c>
    </row>
    <row r="2">
      <c r="A2" t="inlineStr">
        <is>
          <t>Gerado em 11/06/2026 11:16</t>
        </is>
      </c>
    </row>
    <row r="3"/>
    <row r="4">
      <c r="A4" s="2" t="inlineStr">
        <is>
          <t>Periodo</t>
        </is>
      </c>
      <c r="B4" s="2" t="inlineStr">
        <is>
          <t>Inicio</t>
        </is>
      </c>
      <c r="C4" s="2" t="inlineStr">
        <is>
          <t>Fim</t>
        </is>
      </c>
      <c r="D4" s="2" t="inlineStr">
        <is>
          <t>Total TON</t>
        </is>
      </c>
      <c r="E4" s="2" t="inlineStr">
        <is>
          <t>Quantidade NF-es</t>
        </is>
      </c>
    </row>
    <row r="5">
      <c r="A5" s="3" t="inlineStr">
        <is>
          <t>Mes vigente</t>
        </is>
      </c>
      <c r="B5" s="4" t="n">
        <v>46174</v>
      </c>
      <c r="C5" s="4" t="n">
        <v>46203.99999999999</v>
      </c>
      <c r="D5" s="3" t="n">
        <v>480.92</v>
      </c>
      <c r="E5" s="3" t="n">
        <v>15</v>
      </c>
    </row>
    <row r="6">
      <c r="A6" s="3" t="inlineStr">
        <is>
          <t>Dia vigente</t>
        </is>
      </c>
      <c r="B6" s="4" t="n">
        <v>46184</v>
      </c>
      <c r="C6" s="4" t="n">
        <v>46184.99999999999</v>
      </c>
      <c r="D6" s="3" t="n">
        <v>99.89</v>
      </c>
      <c r="E6" s="3" t="n">
        <v>4</v>
      </c>
    </row>
    <row r="7">
      <c r="A7" s="3" t="n"/>
      <c r="B7" s="3" t="n"/>
      <c r="C7" s="3" t="n"/>
      <c r="D7" s="3" t="n"/>
      <c r="E7" s="3" t="n"/>
    </row>
    <row r="8">
      <c r="A8" s="3" t="inlineStr">
        <is>
          <t>Produto mes</t>
        </is>
      </c>
      <c r="B8" s="3" t="inlineStr">
        <is>
          <t>Quantidade TON</t>
        </is>
      </c>
      <c r="C8" s="3" t="n"/>
      <c r="D8" s="3" t="n"/>
      <c r="E8" s="3" t="n"/>
    </row>
    <row r="9">
      <c r="A9" s="3" t="inlineStr">
        <is>
          <t>AREIA 2 DE BRUCUTU</t>
        </is>
      </c>
      <c r="B9" s="3" t="n">
        <v>400.72</v>
      </c>
      <c r="C9" s="3" t="n"/>
      <c r="D9" s="3" t="n"/>
      <c r="E9" s="3" t="n"/>
    </row>
    <row r="10">
      <c r="A10" s="3" t="inlineStr">
        <is>
          <t>Areia A1</t>
        </is>
      </c>
      <c r="B10" s="3" t="n">
        <v>54.81</v>
      </c>
      <c r="C10" s="3" t="n"/>
      <c r="D10" s="3" t="n"/>
      <c r="E10" s="3" t="n"/>
    </row>
    <row r="11">
      <c r="A11" s="3" t="inlineStr">
        <is>
          <t>PEDRA BRITADA 0 CONVENCIONAL</t>
        </is>
      </c>
      <c r="B11" s="3" t="n">
        <v>25.39</v>
      </c>
      <c r="C11" s="3" t="n"/>
      <c r="D11" s="3" t="n"/>
      <c r="E11" s="3" t="n"/>
    </row>
    <row r="12">
      <c r="A12" s="3" t="n"/>
      <c r="B12" s="3" t="n"/>
      <c r="C12" s="3" t="n"/>
      <c r="D12" s="3" t="n"/>
      <c r="E12" s="3" t="n"/>
    </row>
    <row r="13">
      <c r="A13" s="3" t="inlineStr">
        <is>
          <t>Produto dia</t>
        </is>
      </c>
      <c r="B13" s="3" t="inlineStr">
        <is>
          <t>Quantidade TON</t>
        </is>
      </c>
      <c r="C13" s="3" t="n"/>
      <c r="D13" s="3" t="n"/>
      <c r="E13" s="3" t="n"/>
    </row>
    <row r="14">
      <c r="A14" s="3" t="inlineStr">
        <is>
          <t>AREIA 2 DE BRUCUTU</t>
        </is>
      </c>
      <c r="B14" s="3" t="n">
        <v>74.5</v>
      </c>
      <c r="C14" s="3" t="n"/>
      <c r="D14" s="3" t="n"/>
      <c r="E14" s="3" t="n"/>
    </row>
    <row r="15">
      <c r="A15" s="3" t="inlineStr">
        <is>
          <t>PEDRA BRITADA 0 CONVENCIONAL</t>
        </is>
      </c>
      <c r="B15" s="3" t="n">
        <v>25.39</v>
      </c>
      <c r="C15" s="3" t="n"/>
      <c r="D15" s="3" t="n"/>
      <c r="E15" s="3" t="n"/>
    </row>
  </sheetData>
  <autoFilter ref="A4:E1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19" customWidth="1" min="3" max="3"/>
  </cols>
  <sheetData>
    <row r="1">
      <c r="A1" s="1" t="inlineStr">
        <is>
          <t>Relatorio por Periodo e por Material</t>
        </is>
      </c>
    </row>
    <row r="2">
      <c r="A2" t="inlineStr">
        <is>
          <t>01/06/2026 00:00 ate 11/06/2026 23:59</t>
        </is>
      </c>
    </row>
    <row r="3"/>
    <row r="4">
      <c r="A4" s="2" t="inlineStr">
        <is>
          <t>Material</t>
        </is>
      </c>
      <c r="B4" s="2" t="inlineStr">
        <is>
          <t>Quantidade Produto TON</t>
        </is>
      </c>
      <c r="C4" s="2" t="inlineStr">
        <is>
          <t>Quantidade NF-es</t>
        </is>
      </c>
    </row>
    <row r="5">
      <c r="A5" s="3" t="inlineStr">
        <is>
          <t>AREIA 2 DE BRUCUTU</t>
        </is>
      </c>
      <c r="B5" s="3" t="n">
        <v>400.72</v>
      </c>
      <c r="C5" s="3" t="n">
        <v>11</v>
      </c>
    </row>
    <row r="6">
      <c r="A6" s="3" t="inlineStr">
        <is>
          <t>Areia A1</t>
        </is>
      </c>
      <c r="B6" s="3" t="n">
        <v>54.81</v>
      </c>
      <c r="C6" s="3" t="n">
        <v>2</v>
      </c>
    </row>
    <row r="7">
      <c r="A7" s="3" t="inlineStr">
        <is>
          <t>PEDRA BRITADA 0 CONVENCIONAL</t>
        </is>
      </c>
      <c r="B7" s="3" t="n">
        <v>25.39</v>
      </c>
      <c r="C7" s="3" t="n">
        <v>2</v>
      </c>
    </row>
  </sheetData>
  <autoFilter ref="A4:C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2" customWidth="1" min="1" max="1"/>
    <col width="19" customWidth="1" min="2" max="2"/>
    <col width="10" customWidth="1" min="3" max="3"/>
    <col width="18" customWidth="1" min="4" max="4"/>
    <col width="9" customWidth="1" min="5" max="5"/>
  </cols>
  <sheetData>
    <row r="1">
      <c r="A1" s="1" t="inlineStr">
        <is>
          <t>Relatorio por Periodo, Material e Local</t>
        </is>
      </c>
    </row>
    <row r="2">
      <c r="A2" t="inlineStr">
        <is>
          <t>01/06/2026 00:00 ate 11/06/2026 23:59</t>
        </is>
      </c>
    </row>
    <row r="3"/>
    <row r="4">
      <c r="A4" s="2" t="inlineStr">
        <is>
          <t>Material</t>
        </is>
      </c>
      <c r="B4" s="2" t="inlineStr">
        <is>
          <t>Produto CDMA TON</t>
        </is>
      </c>
      <c r="C4" s="2" t="inlineStr">
        <is>
          <t>NF CDMA</t>
        </is>
      </c>
      <c r="D4" s="2" t="inlineStr">
        <is>
          <t>Produto PRU TON</t>
        </is>
      </c>
      <c r="E4" s="2" t="inlineStr">
        <is>
          <t>NF PRU</t>
        </is>
      </c>
    </row>
    <row r="5">
      <c r="A5" s="3" t="inlineStr">
        <is>
          <t>AREIA 2 DE BRUCUTU</t>
        </is>
      </c>
      <c r="B5" s="3" t="n">
        <v>218.43</v>
      </c>
      <c r="C5" s="3" t="n">
        <v>6</v>
      </c>
      <c r="D5" s="3" t="n">
        <v>182.29</v>
      </c>
      <c r="E5" s="3" t="n">
        <v>5</v>
      </c>
    </row>
    <row r="6">
      <c r="A6" s="3" t="inlineStr">
        <is>
          <t>Areia A1</t>
        </is>
      </c>
      <c r="B6" s="3" t="n">
        <v>54.81</v>
      </c>
      <c r="C6" s="3" t="n">
        <v>2</v>
      </c>
      <c r="D6" s="3" t="n">
        <v>0</v>
      </c>
      <c r="E6" s="3" t="n">
        <v>0</v>
      </c>
    </row>
    <row r="7">
      <c r="A7" s="3" t="inlineStr">
        <is>
          <t>PEDRA BRITADA 0 CONVENCIONAL</t>
        </is>
      </c>
      <c r="B7" s="3" t="n">
        <v>0</v>
      </c>
      <c r="C7" s="3" t="n">
        <v>0</v>
      </c>
      <c r="D7" s="3" t="n">
        <v>25.39</v>
      </c>
      <c r="E7" s="3" t="n">
        <v>2</v>
      </c>
    </row>
  </sheetData>
  <autoFilter ref="A4:E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0" customWidth="1" min="1" max="1"/>
    <col width="11" customWidth="1" min="2" max="2"/>
    <col width="10" customWidth="1" min="3" max="3"/>
  </cols>
  <sheetData>
    <row r="1">
      <c r="A1" s="1" t="inlineStr">
        <is>
          <t>Quantidade por Dia, Material e Local</t>
        </is>
      </c>
    </row>
    <row r="2">
      <c r="A2" t="inlineStr">
        <is>
          <t>01/06/2026 00:00 ate 11/06/2026 23:59</t>
        </is>
      </c>
    </row>
    <row r="3">
      <c r="A3" t="inlineStr">
        <is>
          <t>Material: Todos os materiais</t>
        </is>
      </c>
    </row>
    <row r="4">
      <c r="A4" s="2" t="inlineStr">
        <is>
          <t>Data</t>
        </is>
      </c>
      <c r="B4" s="2" t="inlineStr">
        <is>
          <t>CDMA TON</t>
        </is>
      </c>
      <c r="C4" s="2" t="inlineStr">
        <is>
          <t>PRU TON</t>
        </is>
      </c>
    </row>
    <row r="5">
      <c r="A5" s="3" t="inlineStr">
        <is>
          <t>2026-06-01</t>
        </is>
      </c>
      <c r="B5" s="3" t="n">
        <v>0</v>
      </c>
      <c r="C5" s="3" t="n">
        <v>0</v>
      </c>
    </row>
    <row r="6">
      <c r="A6" s="3" t="inlineStr">
        <is>
          <t>2026-06-02</t>
        </is>
      </c>
      <c r="B6" s="3" t="n">
        <v>0</v>
      </c>
      <c r="C6" s="3" t="n">
        <v>0</v>
      </c>
    </row>
    <row r="7">
      <c r="A7" s="3" t="inlineStr">
        <is>
          <t>2026-06-03</t>
        </is>
      </c>
      <c r="B7" s="3" t="n">
        <v>0</v>
      </c>
      <c r="C7" s="3" t="n">
        <v>0</v>
      </c>
    </row>
    <row r="8">
      <c r="A8" s="3" t="inlineStr">
        <is>
          <t>2026-06-04</t>
        </is>
      </c>
      <c r="B8" s="3" t="n">
        <v>0</v>
      </c>
      <c r="C8" s="3" t="n">
        <v>0</v>
      </c>
    </row>
    <row r="9">
      <c r="A9" s="3" t="inlineStr">
        <is>
          <t>2026-06-05</t>
        </is>
      </c>
      <c r="B9" s="3" t="n">
        <v>90.8</v>
      </c>
      <c r="C9" s="3" t="n">
        <v>0</v>
      </c>
    </row>
    <row r="10">
      <c r="A10" s="3" t="inlineStr">
        <is>
          <t>2026-06-06</t>
        </is>
      </c>
      <c r="B10" s="3" t="n">
        <v>0</v>
      </c>
      <c r="C10" s="3" t="n">
        <v>36.9</v>
      </c>
    </row>
    <row r="11">
      <c r="A11" s="3" t="inlineStr">
        <is>
          <t>2026-06-07</t>
        </is>
      </c>
      <c r="B11" s="3" t="n">
        <v>0</v>
      </c>
      <c r="C11" s="3" t="n">
        <v>0</v>
      </c>
    </row>
    <row r="12">
      <c r="A12" s="3" t="inlineStr">
        <is>
          <t>2026-06-08</t>
        </is>
      </c>
      <c r="B12" s="3" t="n">
        <v>37.55</v>
      </c>
      <c r="C12" s="3" t="n">
        <v>0</v>
      </c>
    </row>
    <row r="13">
      <c r="A13" s="3" t="inlineStr">
        <is>
          <t>2026-06-09</t>
        </is>
      </c>
      <c r="B13" s="3" t="n">
        <v>36.27</v>
      </c>
      <c r="C13" s="3" t="n">
        <v>34.87</v>
      </c>
    </row>
    <row r="14">
      <c r="A14" s="3" t="inlineStr">
        <is>
          <t>2026-06-10</t>
        </is>
      </c>
      <c r="B14" s="3" t="n">
        <v>71.26000000000001</v>
      </c>
      <c r="C14" s="3" t="n">
        <v>73.38</v>
      </c>
    </row>
    <row r="15">
      <c r="A15" s="3" t="inlineStr">
        <is>
          <t>2026-06-11</t>
        </is>
      </c>
      <c r="B15" s="3" t="n">
        <v>37.36</v>
      </c>
      <c r="C15" s="3" t="n">
        <v>62.53</v>
      </c>
    </row>
  </sheetData>
  <autoFilter ref="A4:C15"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2026-06-11T14:16:41Z</dcterms:created>
  <dcterms:modified xsi:type="dcterms:W3CDTF">2026-06-11T14:16:41Z</dcterms:modified>
</cp:coreProperties>
</file>